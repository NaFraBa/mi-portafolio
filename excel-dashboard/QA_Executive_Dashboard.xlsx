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Dashboard" sheetId="1" state="visible" r:id="rId1"/>
    <sheet name="Resultados por Modulo" sheetId="2" state="visible" r:id="rId2"/>
    <sheet name="Defect Log (Bug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&quot; ms&quot;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  <font>
      <name val="Segoe UI"/>
      <b val="1"/>
      <color rgb="00FFFFFF"/>
      <sz val="14"/>
    </font>
    <font>
      <name val="Segoe UI"/>
      <b val="1"/>
      <color rgb="0064748B"/>
      <sz val="9"/>
    </font>
    <font>
      <name val="Segoe UI"/>
      <b val="1"/>
      <color rgb="001E3A8A"/>
      <sz val="16"/>
    </font>
    <font>
      <name val="Segoe UI"/>
      <b val="1"/>
      <color rgb="0016A34A"/>
      <sz val="16"/>
    </font>
    <font>
      <name val="Segoe UI"/>
      <b val="1"/>
      <color rgb="00DC2626"/>
      <sz val="16"/>
    </font>
    <font>
      <name val="Segoe UI"/>
      <b val="1"/>
      <color rgb="002563EB"/>
      <sz val="16"/>
    </font>
    <font>
      <name val="Segoe UI"/>
      <b val="1"/>
      <color rgb="00D97706"/>
      <sz val="16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3" fontId="6" fillId="4" borderId="2" applyAlignment="1" pivotButton="0" quotePrefix="0" xfId="0">
      <alignment horizontal="center" vertical="center"/>
    </xf>
    <xf numFmtId="3" fontId="7" fillId="4" borderId="2" applyAlignment="1" pivotButton="0" quotePrefix="0" xfId="0">
      <alignment horizontal="center" vertical="center"/>
    </xf>
    <xf numFmtId="3" fontId="8" fillId="4" borderId="2" applyAlignment="1" pivotButton="0" quotePrefix="0" xfId="0">
      <alignment horizontal="center" vertical="center"/>
    </xf>
    <xf numFmtId="164" fontId="9" fillId="4" borderId="2" applyAlignment="1" pivotButton="0" quotePrefix="0" xfId="0">
      <alignment horizontal="center" vertical="center"/>
    </xf>
    <xf numFmtId="165" fontId="10" fillId="4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Resultados Smoke Tests por Modulo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'Resultados por Modulo'!D1</f>
            </strRef>
          </tx>
          <spPr>
            <a:ln>
              <a:prstDash val="solid"/>
            </a:ln>
          </spPr>
          <cat>
            <numRef>
              <f>'Resultados por Modulo'!$A$2:$A$6</f>
            </numRef>
          </cat>
          <val>
            <numRef>
              <f>'Resultados por Modulo'!$D$2:$D$6</f>
            </numRef>
          </val>
        </ser>
        <ser>
          <idx val="1"/>
          <order val="1"/>
          <tx>
            <strRef>
              <f>'Resultados por Modulo'!E1</f>
            </strRef>
          </tx>
          <spPr>
            <a:ln>
              <a:prstDash val="solid"/>
            </a:ln>
          </spPr>
          <cat>
            <numRef>
              <f>'Resultados por Modulo'!$A$2:$A$6</f>
            </numRef>
          </cat>
          <val>
            <numRef>
              <f>'Resultados por Modulo'!$E$2:$E$6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Tests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Pass Rate Global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'Resultados por Modulo'!$D$1:$E$1</f>
            </numRef>
          </cat>
          <val>
            <numRef>
              <f>'Resultados por Modulo'!$D$7:$E$7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8</row>
      <rowOff>0</rowOff>
    </from>
    <ext cx="54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8</row>
      <rowOff>0</rowOff>
    </from>
    <ext cx="360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6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2">
      <c r="B2" s="1" t="inlineStr">
        <is>
          <t>PORTFOLIO QA AUTOMATION - EXECUTIVE DASHBOARD</t>
        </is>
      </c>
    </row>
    <row r="3"/>
    <row r="5">
      <c r="B5" s="2" t="inlineStr">
        <is>
          <t>TOTAL PRUEBAS</t>
        </is>
      </c>
      <c r="C5" s="3" t="n"/>
      <c r="D5" s="2" t="inlineStr">
        <is>
          <t>PRUEBAS OK</t>
        </is>
      </c>
      <c r="E5" s="3" t="n"/>
      <c r="F5" s="2" t="inlineStr">
        <is>
          <t>FALLOS (FAILED)</t>
        </is>
      </c>
      <c r="G5" s="3" t="n"/>
      <c r="H5" s="2" t="inlineStr">
        <is>
          <t>PASS RATE (%)</t>
        </is>
      </c>
      <c r="I5" s="3" t="n"/>
      <c r="J5" s="2" t="inlineStr">
        <is>
          <t>PERF PROMEDIO</t>
        </is>
      </c>
      <c r="K5" s="3" t="n"/>
    </row>
    <row r="6" ht="30" customHeight="1">
      <c r="B6" s="4">
        <f>'Resultados por Modulo'!C7</f>
        <v/>
      </c>
      <c r="C6" s="3" t="n"/>
      <c r="D6" s="5">
        <f>'Resultados por Modulo'!D7</f>
        <v/>
      </c>
      <c r="E6" s="3" t="n"/>
      <c r="F6" s="6">
        <f>'Resultados por Modulo'!E7</f>
        <v/>
      </c>
      <c r="G6" s="3" t="n"/>
      <c r="H6" s="7">
        <f>'Resultados por Modulo'!G7</f>
        <v/>
      </c>
      <c r="I6" s="3" t="n"/>
      <c r="J6" s="8">
        <f>'Resultados por Modulo'!H7</f>
        <v/>
      </c>
      <c r="K6" s="3" t="n"/>
    </row>
  </sheetData>
  <mergeCells count="11">
    <mergeCell ref="D6:E6"/>
    <mergeCell ref="B6:C6"/>
    <mergeCell ref="H6:I6"/>
    <mergeCell ref="J5:K5"/>
    <mergeCell ref="J6:K6"/>
    <mergeCell ref="B5:C5"/>
    <mergeCell ref="F5:G5"/>
    <mergeCell ref="D5:E5"/>
    <mergeCell ref="F6:G6"/>
    <mergeCell ref="H5:I5"/>
    <mergeCell ref="B2:K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2" customWidth="1" min="2" max="2"/>
    <col width="15" customWidth="1" min="3" max="3"/>
    <col width="15" customWidth="1" min="4" max="4"/>
    <col width="19" customWidth="1" min="5" max="5"/>
    <col width="15" customWidth="1" min="6" max="6"/>
    <col width="21" customWidth="1" min="7" max="7"/>
    <col width="37" customWidth="1" min="8" max="8"/>
  </cols>
  <sheetData>
    <row r="1">
      <c r="A1" s="9" t="inlineStr">
        <is>
          <t>Modulo / Area Web</t>
        </is>
      </c>
      <c r="B1" s="9" t="inlineStr">
        <is>
          <t>Categoria Pruebas</t>
        </is>
      </c>
      <c r="C1" s="9" t="inlineStr">
        <is>
          <t>Ejecutadas</t>
        </is>
      </c>
      <c r="D1" s="9" t="inlineStr">
        <is>
          <t>OK (Passed)</t>
        </is>
      </c>
      <c r="E1" s="9" t="inlineStr">
        <is>
          <t>Fallos (Failed)</t>
        </is>
      </c>
      <c r="F1" s="9" t="inlineStr">
        <is>
          <t>Bloqueadas</t>
        </is>
      </c>
      <c r="G1" s="9" t="inlineStr">
        <is>
          <t>Pass Rate (%)</t>
        </is>
      </c>
      <c r="H1" s="9" t="inlineStr">
        <is>
          <t>Perf Prom (ms)</t>
        </is>
      </c>
    </row>
    <row r="2">
      <c r="A2" s="10" t="inlineStr">
        <is>
          <t>Hero &amp; Servidor</t>
        </is>
      </c>
      <c r="B2" s="10" t="inlineStr">
        <is>
          <t>Disponibilidad HTTP / Hero</t>
        </is>
      </c>
      <c r="C2" s="11" t="n">
        <v>3</v>
      </c>
      <c r="D2" s="11" t="n">
        <v>3</v>
      </c>
      <c r="E2" s="11" t="n">
        <v>0</v>
      </c>
      <c r="F2" s="11" t="n">
        <v>0</v>
      </c>
      <c r="G2" s="12">
        <f>IF(C2=0,0,D2/C2)</f>
        <v/>
      </c>
      <c r="H2" s="13" t="n">
        <v>1456</v>
      </c>
    </row>
    <row r="3">
      <c r="A3" s="10" t="inlineStr">
        <is>
          <t>Navegacion &amp; Menu</t>
        </is>
      </c>
      <c r="B3" s="10" t="inlineStr">
        <is>
          <t>Router / Enlaces Ancla</t>
        </is>
      </c>
      <c r="C3" s="11" t="n">
        <v>6</v>
      </c>
      <c r="D3" s="11" t="n">
        <v>6</v>
      </c>
      <c r="E3" s="11" t="n">
        <v>0</v>
      </c>
      <c r="F3" s="11" t="n">
        <v>0</v>
      </c>
      <c r="G3" s="12">
        <f>IF(C3=0,0,D3/C3)</f>
        <v/>
      </c>
      <c r="H3" s="13" t="n">
        <v>640</v>
      </c>
    </row>
    <row r="4">
      <c r="A4" s="10" t="inlineStr">
        <is>
          <t>Habilidades</t>
        </is>
      </c>
      <c r="B4" s="10" t="inlineStr">
        <is>
          <t>DOM Dinamico / Skills</t>
        </is>
      </c>
      <c r="C4" s="11" t="n">
        <v>1</v>
      </c>
      <c r="D4" s="11" t="n">
        <v>1</v>
      </c>
      <c r="E4" s="11" t="n">
        <v>0</v>
      </c>
      <c r="F4" s="11" t="n">
        <v>0</v>
      </c>
      <c r="G4" s="12">
        <f>IF(C4=0,0,D4/C4)</f>
        <v/>
      </c>
      <c r="H4" s="13" t="n">
        <v>2793</v>
      </c>
    </row>
    <row r="5">
      <c r="A5" s="10" t="inlineStr">
        <is>
          <t>Proyectos</t>
        </is>
      </c>
      <c r="B5" s="10" t="inlineStr">
        <is>
          <t>Tarjetas &amp; Tabs UI</t>
        </is>
      </c>
      <c r="C5" s="11" t="n">
        <v>1</v>
      </c>
      <c r="D5" s="11" t="n">
        <v>1</v>
      </c>
      <c r="E5" s="11" t="n">
        <v>0</v>
      </c>
      <c r="F5" s="11" t="n">
        <v>0</v>
      </c>
      <c r="G5" s="12">
        <f>IF(C5=0,0,D5/C5)</f>
        <v/>
      </c>
      <c r="H5" s="13" t="n">
        <v>2236</v>
      </c>
    </row>
    <row r="6">
      <c r="A6" s="10" t="inlineStr">
        <is>
          <t>Contacto &amp; Redes</t>
        </is>
      </c>
      <c r="B6" s="10" t="inlineStr">
        <is>
          <t>Links Externos &amp; Descarga CV</t>
        </is>
      </c>
      <c r="C6" s="11" t="n">
        <v>1</v>
      </c>
      <c r="D6" s="11" t="n">
        <v>1</v>
      </c>
      <c r="E6" s="11" t="n">
        <v>0</v>
      </c>
      <c r="F6" s="11" t="n">
        <v>0</v>
      </c>
      <c r="G6" s="12">
        <f>IF(C6=0,0,D6/C6)</f>
        <v/>
      </c>
      <c r="H6" s="13" t="n">
        <v>1017</v>
      </c>
    </row>
    <row r="7">
      <c r="A7" s="14" t="inlineStr">
        <is>
          <t>Total / Promedio</t>
        </is>
      </c>
      <c r="B7" s="15" t="n"/>
      <c r="C7" s="15">
        <f>SUM(C2:C6)</f>
        <v/>
      </c>
      <c r="D7" s="15">
        <f>SUM(D2:D6)</f>
        <v/>
      </c>
      <c r="E7" s="15">
        <f>SUM(E2:E6)</f>
        <v/>
      </c>
      <c r="F7" s="15">
        <f>SUM(F2:F6)</f>
        <v/>
      </c>
      <c r="G7" s="16">
        <f>IF(C7=0,0,D7/C7)</f>
        <v/>
      </c>
      <c r="H7" s="17">
        <f>IFERROR(AVERAGEIF(H2:H6,"&gt;0"),0)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3" customWidth="1" min="3" max="3"/>
    <col width="48" customWidth="1" min="4" max="4"/>
    <col width="12" customWidth="1" min="5" max="5"/>
    <col width="17" customWidth="1" min="6" max="6"/>
  </cols>
  <sheetData>
    <row r="1">
      <c r="A1" s="9" t="inlineStr">
        <is>
          <t>Bug ID</t>
        </is>
      </c>
      <c r="B1" s="9" t="inlineStr">
        <is>
          <t>Modulo Afectado</t>
        </is>
      </c>
      <c r="C1" s="9" t="inlineStr">
        <is>
          <t>Severidad</t>
        </is>
      </c>
      <c r="D1" s="9" t="inlineStr">
        <is>
          <t>Descripcion Breve</t>
        </is>
      </c>
      <c r="E1" s="9" t="inlineStr">
        <is>
          <t>Estado</t>
        </is>
      </c>
      <c r="F1" s="9" t="inlineStr">
        <is>
          <t>Responsable</t>
        </is>
      </c>
    </row>
    <row r="2">
      <c r="A2" s="18" t="inlineStr">
        <is>
          <t>BUG-001</t>
        </is>
      </c>
      <c r="B2" s="10" t="inlineStr">
        <is>
          <t>Proyectos</t>
        </is>
      </c>
      <c r="C2" s="18" t="inlineStr">
        <is>
          <t>Media</t>
        </is>
      </c>
      <c r="D2" s="10" t="inlineStr">
        <is>
          <t>Pestana secundaria requiere seleccion activa</t>
        </is>
      </c>
      <c r="E2" s="18" t="inlineStr">
        <is>
          <t>Resuelto</t>
        </is>
      </c>
      <c r="F2" s="10" t="inlineStr">
        <is>
          <t>QA Automation</t>
        </is>
      </c>
    </row>
    <row r="3">
      <c r="A3" s="18" t="inlineStr">
        <is>
          <t>BUG-002</t>
        </is>
      </c>
      <c r="B3" s="10" t="inlineStr">
        <is>
          <t>Habilidades</t>
        </is>
      </c>
      <c r="C3" s="18" t="inlineStr">
        <is>
          <t>Baja</t>
        </is>
      </c>
      <c r="D3" s="10" t="inlineStr">
        <is>
          <t>Animacion CSS requiere scroll</t>
        </is>
      </c>
      <c r="E3" s="18" t="inlineStr">
        <is>
          <t>Resuelto</t>
        </is>
      </c>
      <c r="F3" s="10" t="inlineStr">
        <is>
          <t>Frontend 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2026-10-19T16:00:30Z</dcterms:created>
  <dcterms:modified xsi:type="dcterms:W3CDTF">2026-10-19T16:00:30Z</dcterms:modified>
</cp:coreProperties>
</file>