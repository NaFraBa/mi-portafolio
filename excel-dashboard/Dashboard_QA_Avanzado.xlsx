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47eed3d7efb8817/Escritorio/IA/Antigravity/Portfolio/excel-dashboard/"/>
    </mc:Choice>
  </mc:AlternateContent>
  <xr:revisionPtr revIDLastSave="0" documentId="11_494DF02A6F85334F0CB4E481165C3B2C090C6B8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Dashboard" sheetId="1" r:id="rId1"/>
    <sheet name="Resultados por Modulo" sheetId="2" r:id="rId2"/>
    <sheet name="Defect Log (Bugs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4" i="3"/>
  <c r="I3" i="3"/>
  <c r="I2" i="3"/>
  <c r="H10" i="2"/>
  <c r="F10" i="2"/>
  <c r="E10" i="2"/>
  <c r="F6" i="1" s="1"/>
  <c r="D10" i="2"/>
  <c r="G10" i="2" s="1"/>
  <c r="H6" i="1" s="1"/>
  <c r="C10" i="2"/>
  <c r="G9" i="2"/>
  <c r="G8" i="2"/>
  <c r="G7" i="2"/>
  <c r="G6" i="2"/>
  <c r="G5" i="2"/>
  <c r="G4" i="2"/>
  <c r="G3" i="2"/>
  <c r="G2" i="2"/>
  <c r="J6" i="1"/>
  <c r="D6" i="1"/>
  <c r="B6" i="1"/>
</calcChain>
</file>

<file path=xl/sharedStrings.xml><?xml version="1.0" encoding="utf-8"?>
<sst xmlns="http://schemas.openxmlformats.org/spreadsheetml/2006/main" count="85" uniqueCount="67">
  <si>
    <t>WEB TESTING &amp; QUALITY ASSURANCE - DASHBOARD EJECUTIVO</t>
  </si>
  <si>
    <t>TOTAL PRUEBAS</t>
  </si>
  <si>
    <t>PRUEBAS OK</t>
  </si>
  <si>
    <t>FALLOS (FAILED)</t>
  </si>
  <si>
    <t>PASS RATE (%)</t>
  </si>
  <si>
    <t>TOTAL BUGS</t>
  </si>
  <si>
    <t>Módulo / Área Web</t>
  </si>
  <si>
    <t>Categoría Pruebas</t>
  </si>
  <si>
    <t>Ejecutadas</t>
  </si>
  <si>
    <t>OK (Passed)</t>
  </si>
  <si>
    <t>Fallos (Failed)</t>
  </si>
  <si>
    <t>Bloqueadas</t>
  </si>
  <si>
    <t>Pass Rate (%)</t>
  </si>
  <si>
    <t>Perf Prom (ms)</t>
  </si>
  <si>
    <t>Navegación &amp; Header</t>
  </si>
  <si>
    <t>Links &amp; Router</t>
  </si>
  <si>
    <t>Formulario de Registro</t>
  </si>
  <si>
    <t>Form / Inputs</t>
  </si>
  <si>
    <t>Checkout &amp; Pasarela</t>
  </si>
  <si>
    <t>Form / Payments</t>
  </si>
  <si>
    <t>Botones CTA &amp; Modales</t>
  </si>
  <si>
    <t>UI / Interacción</t>
  </si>
  <si>
    <t>Búsqueda y Filtros</t>
  </si>
  <si>
    <t>Performance &amp; API</t>
  </si>
  <si>
    <t>Footer &amp; Enlaces Ext</t>
  </si>
  <si>
    <t>Links Externos</t>
  </si>
  <si>
    <t>Autenticación &amp; Login</t>
  </si>
  <si>
    <t>Seguridad / Form</t>
  </si>
  <si>
    <t>Carrito de Compras</t>
  </si>
  <si>
    <t>E-Commerce / State</t>
  </si>
  <si>
    <t>Total / Promedio</t>
  </si>
  <si>
    <t>Bug ID</t>
  </si>
  <si>
    <t>Módulo Afectado</t>
  </si>
  <si>
    <t>Severidad</t>
  </si>
  <si>
    <t>Descripción Breve</t>
  </si>
  <si>
    <t>Estado</t>
  </si>
  <si>
    <t>Responsable</t>
  </si>
  <si>
    <t>Cantidad</t>
  </si>
  <si>
    <t>BUG-001</t>
  </si>
  <si>
    <t>Crítica</t>
  </si>
  <si>
    <t>Error 500 al procesar pago con Visa</t>
  </si>
  <si>
    <t>Abierto</t>
  </si>
  <si>
    <t>Dev Team Lead</t>
  </si>
  <si>
    <t>BUG-002</t>
  </si>
  <si>
    <t>Alta</t>
  </si>
  <si>
    <t>El botón 'Pagar' permite doble clic</t>
  </si>
  <si>
    <t>En Progreso</t>
  </si>
  <si>
    <t>Frontend QA</t>
  </si>
  <si>
    <t>BUG-003</t>
  </si>
  <si>
    <t>Filtro de precio no responde en mobile</t>
  </si>
  <si>
    <t>Frontend Lead</t>
  </si>
  <si>
    <t>Media</t>
  </si>
  <si>
    <t>BUG-004</t>
  </si>
  <si>
    <t>Persistencia de estado se pierde en F5</t>
  </si>
  <si>
    <t>Backend QA</t>
  </si>
  <si>
    <t>Baja</t>
  </si>
  <si>
    <t>BUG-005</t>
  </si>
  <si>
    <t>Validación de email acepta formatos inválidos</t>
  </si>
  <si>
    <t>Resuelto</t>
  </si>
  <si>
    <t>QA Automation</t>
  </si>
  <si>
    <t>BUG-006</t>
  </si>
  <si>
    <t>Mensaje de error no accesible para Lector de Pantalla</t>
  </si>
  <si>
    <t>UI/UX Dev</t>
  </si>
  <si>
    <t>BUG-007</t>
  </si>
  <si>
    <t>Desalineación de 2px en el menú desplegable</t>
  </si>
  <si>
    <t>Cerrado</t>
  </si>
  <si>
    <t>Frontend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</si>
</sst>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&quot; ms&quot;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name val="Segoe UI"/>
    </font>
    <font>
      <b/>
      <sz val="15"/>
      <color rgb="FFFFFFFF"/>
      <name val="Segoe UI"/>
    </font>
    <font>
      <b/>
      <sz val="8"/>
      <color rgb="FF64748B"/>
      <name val="Segoe UI"/>
    </font>
    <font>
      <b/>
      <sz val="16"/>
      <color rgb="FF1E3A8A"/>
      <name val="Segoe UI"/>
    </font>
    <font>
      <b/>
      <sz val="16"/>
      <color rgb="FF16A34A"/>
      <name val="Segoe UI"/>
    </font>
    <font>
      <b/>
      <sz val="16"/>
      <color rgb="FFDC2626"/>
      <name val="Segoe UI"/>
    </font>
    <font>
      <b/>
      <sz val="16"/>
      <color rgb="FF2563EB"/>
      <name val="Segoe UI"/>
    </font>
    <font>
      <b/>
      <sz val="16"/>
      <color rgb="FFD97706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3" fontId="6" fillId="4" borderId="2" xfId="0" applyNumberFormat="1" applyFont="1" applyFill="1" applyBorder="1" applyAlignment="1">
      <alignment horizontal="center" vertical="center"/>
    </xf>
    <xf numFmtId="0" fontId="0" fillId="0" borderId="2" xfId="0" applyBorder="1"/>
    <xf numFmtId="3" fontId="5" fillId="4" borderId="2" xfId="0" applyNumberFormat="1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ES"/>
              <a:t>Resultados de Ejecución por Módulo Web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'Resultados por Modulo'!$D$1</c:f>
              <c:strCache>
                <c:ptCount val="1"/>
                <c:pt idx="0">
                  <c:v>OK (Passed)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'Resultados por Modulo'!$A$2:$A$9</c:f>
              <c:strCache>
                <c:ptCount val="8"/>
                <c:pt idx="0">
                  <c:v>Navegación &amp; Header</c:v>
                </c:pt>
                <c:pt idx="1">
                  <c:v>Formulario de Registro</c:v>
                </c:pt>
                <c:pt idx="2">
                  <c:v>Checkout &amp; Pasarela</c:v>
                </c:pt>
                <c:pt idx="3">
                  <c:v>Botones CTA &amp; Modales</c:v>
                </c:pt>
                <c:pt idx="4">
                  <c:v>Búsqueda y Filtros</c:v>
                </c:pt>
                <c:pt idx="5">
                  <c:v>Footer &amp; Enlaces Ext</c:v>
                </c:pt>
                <c:pt idx="6">
                  <c:v>Autenticación &amp; Login</c:v>
                </c:pt>
                <c:pt idx="7">
                  <c:v>Carrito de Compras</c:v>
                </c:pt>
              </c:strCache>
            </c:strRef>
          </c:cat>
          <c:val>
            <c:numRef>
              <c:f>'Resultados por Modulo'!$D$2:$D$9</c:f>
              <c:numCache>
                <c:formatCode>General</c:formatCode>
                <c:ptCount val="8"/>
                <c:pt idx="0">
                  <c:v>145</c:v>
                </c:pt>
                <c:pt idx="1">
                  <c:v>88</c:v>
                </c:pt>
                <c:pt idx="2">
                  <c:v>105</c:v>
                </c:pt>
                <c:pt idx="3">
                  <c:v>78</c:v>
                </c:pt>
                <c:pt idx="4">
                  <c:v>98</c:v>
                </c:pt>
                <c:pt idx="5">
                  <c:v>45</c:v>
                </c:pt>
                <c:pt idx="6">
                  <c:v>85</c:v>
                </c:pt>
                <c:pt idx="7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F-4CAD-9F3A-AA0BED2A6CA8}"/>
            </c:ext>
          </c:extLst>
        </c:ser>
        <c:ser>
          <c:idx val="1"/>
          <c:order val="1"/>
          <c:tx>
            <c:strRef>
              <c:f>'Resultados por Modulo'!$E$1</c:f>
              <c:strCache>
                <c:ptCount val="1"/>
                <c:pt idx="0">
                  <c:v>Fallos (Failed)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'Resultados por Modulo'!$A$2:$A$9</c:f>
              <c:strCache>
                <c:ptCount val="8"/>
                <c:pt idx="0">
                  <c:v>Navegación &amp; Header</c:v>
                </c:pt>
                <c:pt idx="1">
                  <c:v>Formulario de Registro</c:v>
                </c:pt>
                <c:pt idx="2">
                  <c:v>Checkout &amp; Pasarela</c:v>
                </c:pt>
                <c:pt idx="3">
                  <c:v>Botones CTA &amp; Modales</c:v>
                </c:pt>
                <c:pt idx="4">
                  <c:v>Búsqueda y Filtros</c:v>
                </c:pt>
                <c:pt idx="5">
                  <c:v>Footer &amp; Enlaces Ext</c:v>
                </c:pt>
                <c:pt idx="6">
                  <c:v>Autenticación &amp; Login</c:v>
                </c:pt>
                <c:pt idx="7">
                  <c:v>Carrito de Compras</c:v>
                </c:pt>
              </c:strCache>
            </c:strRef>
          </c:cat>
          <c:val>
            <c:numRef>
              <c:f>'Resultados por Modulo'!$E$2:$E$9</c:f>
              <c:numCache>
                <c:formatCode>General</c:formatCode>
                <c:ptCount val="8"/>
                <c:pt idx="0">
                  <c:v>3</c:v>
                </c:pt>
                <c:pt idx="1">
                  <c:v>5</c:v>
                </c:pt>
                <c:pt idx="2">
                  <c:v>12</c:v>
                </c:pt>
                <c:pt idx="3">
                  <c:v>2</c:v>
                </c:pt>
                <c:pt idx="4">
                  <c:v>10</c:v>
                </c:pt>
                <c:pt idx="5">
                  <c:v>0</c:v>
                </c:pt>
                <c:pt idx="6">
                  <c:v>4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7F-4CAD-9F3A-AA0BED2A6CA8}"/>
            </c:ext>
          </c:extLst>
        </c:ser>
        <c:ser>
          <c:idx val="2"/>
          <c:order val="2"/>
          <c:tx>
            <c:strRef>
              <c:f>'Resultados por Modulo'!$F$1</c:f>
              <c:strCache>
                <c:ptCount val="1"/>
                <c:pt idx="0">
                  <c:v>Bloqueadas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'Resultados por Modulo'!$A$2:$A$9</c:f>
              <c:strCache>
                <c:ptCount val="8"/>
                <c:pt idx="0">
                  <c:v>Navegación &amp; Header</c:v>
                </c:pt>
                <c:pt idx="1">
                  <c:v>Formulario de Registro</c:v>
                </c:pt>
                <c:pt idx="2">
                  <c:v>Checkout &amp; Pasarela</c:v>
                </c:pt>
                <c:pt idx="3">
                  <c:v>Botones CTA &amp; Modales</c:v>
                </c:pt>
                <c:pt idx="4">
                  <c:v>Búsqueda y Filtros</c:v>
                </c:pt>
                <c:pt idx="5">
                  <c:v>Footer &amp; Enlaces Ext</c:v>
                </c:pt>
                <c:pt idx="6">
                  <c:v>Autenticación &amp; Login</c:v>
                </c:pt>
                <c:pt idx="7">
                  <c:v>Carrito de Compras</c:v>
                </c:pt>
              </c:strCache>
            </c:strRef>
          </c:cat>
          <c:val>
            <c:numRef>
              <c:f>'Resultados por Modulo'!$F$2:$F$9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7F-4CAD-9F3A-AA0BED2A6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Cantidad de Casos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Bugs por Severidad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'Defect Log (Bugs)'!$I$1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'Defect Log (Bugs)'!$H$2:$H$5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Media</c:v>
                </c:pt>
                <c:pt idx="3">
                  <c:v>Baja</c:v>
                </c:pt>
              </c:strCache>
            </c:strRef>
          </c:cat>
          <c:val>
            <c:numRef>
              <c:f>'Defect Log (Bugs)'!$I$2:$I$5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D-48F4-92BA-E7D422003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S"/>
              <a:t>Performance: Tiempo Promedio de Respuesta (ms)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'Resultados por Modulo'!$H$1</c:f>
              <c:strCache>
                <c:ptCount val="1"/>
                <c:pt idx="0">
                  <c:v>Perf Prom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'Resultados por Modulo'!$A$2:$A$9</c:f>
              <c:strCache>
                <c:ptCount val="8"/>
                <c:pt idx="0">
                  <c:v>Navegación &amp; Header</c:v>
                </c:pt>
                <c:pt idx="1">
                  <c:v>Formulario de Registro</c:v>
                </c:pt>
                <c:pt idx="2">
                  <c:v>Checkout &amp; Pasarela</c:v>
                </c:pt>
                <c:pt idx="3">
                  <c:v>Botones CTA &amp; Modales</c:v>
                </c:pt>
                <c:pt idx="4">
                  <c:v>Búsqueda y Filtros</c:v>
                </c:pt>
                <c:pt idx="5">
                  <c:v>Footer &amp; Enlaces Ext</c:v>
                </c:pt>
                <c:pt idx="6">
                  <c:v>Autenticación &amp; Login</c:v>
                </c:pt>
                <c:pt idx="7">
                  <c:v>Carrito de Compras</c:v>
                </c:pt>
              </c:strCache>
            </c:strRef>
          </c:cat>
          <c:val>
            <c:numRef>
              <c:f>'Resultados por Modulo'!$H$2:$H$9</c:f>
              <c:numCache>
                <c:formatCode>#,##0" ms"</c:formatCode>
                <c:ptCount val="8"/>
                <c:pt idx="0">
                  <c:v>280</c:v>
                </c:pt>
                <c:pt idx="1">
                  <c:v>410</c:v>
                </c:pt>
                <c:pt idx="2">
                  <c:v>850</c:v>
                </c:pt>
                <c:pt idx="3">
                  <c:v>190</c:v>
                </c:pt>
                <c:pt idx="4">
                  <c:v>630</c:v>
                </c:pt>
                <c:pt idx="5">
                  <c:v>220</c:v>
                </c:pt>
                <c:pt idx="6">
                  <c:v>380</c:v>
                </c:pt>
                <c:pt idx="7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9-4A8D-806F-38A43146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Milisegundos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&quot; ms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72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39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23</xdr:row>
      <xdr:rowOff>0</xdr:rowOff>
    </xdr:from>
    <xdr:ext cx="720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"/>
  <sheetViews>
    <sheetView tabSelected="1" workbookViewId="0"/>
  </sheetViews>
  <sheetFormatPr baseColWidth="10" defaultColWidth="8.88671875" defaultRowHeight="14.4" x14ac:dyDescent="0.3"/>
  <sheetData>
    <row r="2" spans="2:11" x14ac:dyDescent="0.3">
      <c r="B2" s="16" t="s">
        <v>0</v>
      </c>
      <c r="C2" s="17"/>
      <c r="D2" s="17"/>
      <c r="E2" s="17"/>
      <c r="F2" s="17"/>
      <c r="G2" s="17"/>
      <c r="H2" s="17"/>
      <c r="I2" s="17"/>
      <c r="J2" s="17"/>
      <c r="K2" s="17"/>
    </row>
    <row r="3" spans="2:11" x14ac:dyDescent="0.3">
      <c r="B3" s="17"/>
      <c r="C3" s="17"/>
      <c r="D3" s="17"/>
      <c r="E3" s="17"/>
      <c r="F3" s="17"/>
      <c r="G3" s="17"/>
      <c r="H3" s="17"/>
      <c r="I3" s="17"/>
      <c r="J3" s="17"/>
      <c r="K3" s="17"/>
    </row>
    <row r="5" spans="2:11" x14ac:dyDescent="0.3">
      <c r="B5" s="13" t="s">
        <v>1</v>
      </c>
      <c r="C5" s="10"/>
      <c r="D5" s="13" t="s">
        <v>2</v>
      </c>
      <c r="E5" s="10"/>
      <c r="F5" s="13" t="s">
        <v>3</v>
      </c>
      <c r="G5" s="10"/>
      <c r="H5" s="13" t="s">
        <v>4</v>
      </c>
      <c r="I5" s="10"/>
      <c r="J5" s="13" t="s">
        <v>5</v>
      </c>
      <c r="K5" s="10"/>
    </row>
    <row r="6" spans="2:11" ht="24.6" x14ac:dyDescent="0.3">
      <c r="B6" s="11">
        <f>'Resultados por Modulo'!C10</f>
        <v>795</v>
      </c>
      <c r="C6" s="10"/>
      <c r="D6" s="9">
        <f>'Resultados por Modulo'!D10</f>
        <v>736</v>
      </c>
      <c r="E6" s="10"/>
      <c r="F6" s="15">
        <f>'Resultados por Modulo'!E10</f>
        <v>47</v>
      </c>
      <c r="G6" s="10"/>
      <c r="H6" s="12">
        <f>'Resultados por Modulo'!G10</f>
        <v>0.9257861635220126</v>
      </c>
      <c r="I6" s="10"/>
      <c r="J6" s="14">
        <f>COUNTA('Defect Log (Bugs)'!A2:A8)</f>
        <v>7</v>
      </c>
      <c r="K6" s="10"/>
    </row>
  </sheetData>
  <mergeCells count="11">
    <mergeCell ref="B2:K3"/>
    <mergeCell ref="D6:E6"/>
    <mergeCell ref="B6:C6"/>
    <mergeCell ref="H6:I6"/>
    <mergeCell ref="J5:K5"/>
    <mergeCell ref="J6:K6"/>
    <mergeCell ref="B5:C5"/>
    <mergeCell ref="F5:G5"/>
    <mergeCell ref="D5:E5"/>
    <mergeCell ref="F6:G6"/>
    <mergeCell ref="H5:I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ColWidth="8.88671875" defaultRowHeight="14.4" x14ac:dyDescent="0.3"/>
  <cols>
    <col min="1" max="1" width="26" customWidth="1"/>
    <col min="2" max="2" width="22" customWidth="1"/>
    <col min="3" max="4" width="15" customWidth="1"/>
    <col min="5" max="5" width="19" customWidth="1"/>
    <col min="6" max="6" width="15" customWidth="1"/>
    <col min="7" max="7" width="17" customWidth="1"/>
    <col min="8" max="8" width="19" customWidth="1"/>
  </cols>
  <sheetData>
    <row r="1" spans="1:8" ht="1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ht="15" x14ac:dyDescent="0.35">
      <c r="A2" s="2" t="s">
        <v>14</v>
      </c>
      <c r="B2" s="2" t="s">
        <v>15</v>
      </c>
      <c r="C2" s="3">
        <v>150</v>
      </c>
      <c r="D2" s="3">
        <v>145</v>
      </c>
      <c r="E2" s="3">
        <v>3</v>
      </c>
      <c r="F2" s="3">
        <v>2</v>
      </c>
      <c r="G2" s="4">
        <f t="shared" ref="G2:G10" si="0">D2/C2</f>
        <v>0.96666666666666667</v>
      </c>
      <c r="H2" s="5">
        <v>280</v>
      </c>
    </row>
    <row r="3" spans="1:8" ht="15" x14ac:dyDescent="0.35">
      <c r="A3" s="2" t="s">
        <v>16</v>
      </c>
      <c r="B3" s="2" t="s">
        <v>17</v>
      </c>
      <c r="C3" s="3">
        <v>95</v>
      </c>
      <c r="D3" s="3">
        <v>88</v>
      </c>
      <c r="E3" s="3">
        <v>5</v>
      </c>
      <c r="F3" s="3">
        <v>2</v>
      </c>
      <c r="G3" s="4">
        <f t="shared" si="0"/>
        <v>0.9263157894736842</v>
      </c>
      <c r="H3" s="5">
        <v>410</v>
      </c>
    </row>
    <row r="4" spans="1:8" ht="15" x14ac:dyDescent="0.35">
      <c r="A4" s="2" t="s">
        <v>18</v>
      </c>
      <c r="B4" s="2" t="s">
        <v>19</v>
      </c>
      <c r="C4" s="3">
        <v>120</v>
      </c>
      <c r="D4" s="3">
        <v>105</v>
      </c>
      <c r="E4" s="3">
        <v>12</v>
      </c>
      <c r="F4" s="3">
        <v>3</v>
      </c>
      <c r="G4" s="4">
        <f t="shared" si="0"/>
        <v>0.875</v>
      </c>
      <c r="H4" s="5">
        <v>850</v>
      </c>
    </row>
    <row r="5" spans="1:8" ht="15" x14ac:dyDescent="0.35">
      <c r="A5" s="2" t="s">
        <v>20</v>
      </c>
      <c r="B5" s="2" t="s">
        <v>21</v>
      </c>
      <c r="C5" s="3">
        <v>80</v>
      </c>
      <c r="D5" s="3">
        <v>78</v>
      </c>
      <c r="E5" s="3">
        <v>2</v>
      </c>
      <c r="F5" s="3">
        <v>0</v>
      </c>
      <c r="G5" s="4">
        <f t="shared" si="0"/>
        <v>0.97499999999999998</v>
      </c>
      <c r="H5" s="5">
        <v>190</v>
      </c>
    </row>
    <row r="6" spans="1:8" ht="15" x14ac:dyDescent="0.35">
      <c r="A6" s="2" t="s">
        <v>22</v>
      </c>
      <c r="B6" s="2" t="s">
        <v>23</v>
      </c>
      <c r="C6" s="3">
        <v>110</v>
      </c>
      <c r="D6" s="3">
        <v>98</v>
      </c>
      <c r="E6" s="3">
        <v>10</v>
      </c>
      <c r="F6" s="3">
        <v>2</v>
      </c>
      <c r="G6" s="4">
        <f t="shared" si="0"/>
        <v>0.89090909090909087</v>
      </c>
      <c r="H6" s="5">
        <v>630</v>
      </c>
    </row>
    <row r="7" spans="1:8" ht="15" x14ac:dyDescent="0.35">
      <c r="A7" s="2" t="s">
        <v>24</v>
      </c>
      <c r="B7" s="2" t="s">
        <v>25</v>
      </c>
      <c r="C7" s="3">
        <v>45</v>
      </c>
      <c r="D7" s="3">
        <v>45</v>
      </c>
      <c r="E7" s="3">
        <v>0</v>
      </c>
      <c r="F7" s="3">
        <v>0</v>
      </c>
      <c r="G7" s="4">
        <f t="shared" si="0"/>
        <v>1</v>
      </c>
      <c r="H7" s="5">
        <v>220</v>
      </c>
    </row>
    <row r="8" spans="1:8" ht="15" x14ac:dyDescent="0.35">
      <c r="A8" s="2" t="s">
        <v>26</v>
      </c>
      <c r="B8" s="2" t="s">
        <v>27</v>
      </c>
      <c r="C8" s="3">
        <v>90</v>
      </c>
      <c r="D8" s="3">
        <v>85</v>
      </c>
      <c r="E8" s="3">
        <v>4</v>
      </c>
      <c r="F8" s="3">
        <v>1</v>
      </c>
      <c r="G8" s="4">
        <f t="shared" si="0"/>
        <v>0.94444444444444442</v>
      </c>
      <c r="H8" s="5">
        <v>380</v>
      </c>
    </row>
    <row r="9" spans="1:8" ht="15" x14ac:dyDescent="0.35">
      <c r="A9" s="2" t="s">
        <v>28</v>
      </c>
      <c r="B9" s="2" t="s">
        <v>29</v>
      </c>
      <c r="C9" s="3">
        <v>105</v>
      </c>
      <c r="D9" s="3">
        <v>92</v>
      </c>
      <c r="E9" s="3">
        <v>11</v>
      </c>
      <c r="F9" s="3">
        <v>2</v>
      </c>
      <c r="G9" s="4">
        <f t="shared" si="0"/>
        <v>0.87619047619047619</v>
      </c>
      <c r="H9" s="5">
        <v>540</v>
      </c>
    </row>
    <row r="10" spans="1:8" x14ac:dyDescent="0.3">
      <c r="A10" t="s">
        <v>30</v>
      </c>
      <c r="C10">
        <f>SUM(C2:C9)</f>
        <v>795</v>
      </c>
      <c r="D10">
        <f>SUM(D2:D9)</f>
        <v>736</v>
      </c>
      <c r="E10">
        <f>SUM(E2:E9)</f>
        <v>47</v>
      </c>
      <c r="F10">
        <f>SUM(F2:F9)</f>
        <v>12</v>
      </c>
      <c r="G10">
        <f t="shared" si="0"/>
        <v>0.9257861635220126</v>
      </c>
      <c r="H10">
        <f>AVERAGE(H2:H9)</f>
        <v>437.5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/>
  </sheetViews>
  <sheetFormatPr baseColWidth="10" defaultColWidth="8.88671875" defaultRowHeight="14.4" x14ac:dyDescent="0.3"/>
  <cols>
    <col min="1" max="1" width="15" customWidth="1"/>
    <col min="2" max="2" width="26" customWidth="1"/>
    <col min="3" max="3" width="15" customWidth="1"/>
    <col min="4" max="4" width="57" customWidth="1"/>
    <col min="5" max="5" width="15" customWidth="1"/>
    <col min="6" max="6" width="17" customWidth="1"/>
    <col min="7" max="8" width="15" customWidth="1"/>
    <col min="9" max="9" width="30" customWidth="1"/>
  </cols>
  <sheetData>
    <row r="1" spans="1:9" ht="15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H1" s="6" t="s">
        <v>33</v>
      </c>
      <c r="I1" s="6" t="s">
        <v>37</v>
      </c>
    </row>
    <row r="2" spans="1:9" ht="15" x14ac:dyDescent="0.35">
      <c r="A2" s="7" t="s">
        <v>38</v>
      </c>
      <c r="B2" s="2" t="s">
        <v>18</v>
      </c>
      <c r="C2" s="7" t="s">
        <v>39</v>
      </c>
      <c r="D2" s="2" t="s">
        <v>40</v>
      </c>
      <c r="E2" s="7" t="s">
        <v>41</v>
      </c>
      <c r="F2" s="2" t="s">
        <v>42</v>
      </c>
      <c r="H2" s="8" t="s">
        <v>39</v>
      </c>
      <c r="I2" s="8">
        <f>COUNTIF(C2:C8, "Crítica")</f>
        <v>2</v>
      </c>
    </row>
    <row r="3" spans="1:9" ht="15" x14ac:dyDescent="0.35">
      <c r="A3" s="7" t="s">
        <v>43</v>
      </c>
      <c r="B3" s="2" t="s">
        <v>18</v>
      </c>
      <c r="C3" s="7" t="s">
        <v>44</v>
      </c>
      <c r="D3" s="2" t="s">
        <v>45</v>
      </c>
      <c r="E3" s="7" t="s">
        <v>46</v>
      </c>
      <c r="F3" s="2" t="s">
        <v>47</v>
      </c>
      <c r="H3" s="8" t="s">
        <v>44</v>
      </c>
      <c r="I3" s="8">
        <f>COUNTIF(C2:C8, "Alta")</f>
        <v>2</v>
      </c>
    </row>
    <row r="4" spans="1:9" ht="15" x14ac:dyDescent="0.35">
      <c r="A4" s="7" t="s">
        <v>48</v>
      </c>
      <c r="B4" s="2" t="s">
        <v>22</v>
      </c>
      <c r="C4" s="7" t="s">
        <v>44</v>
      </c>
      <c r="D4" s="2" t="s">
        <v>49</v>
      </c>
      <c r="E4" s="7" t="s">
        <v>41</v>
      </c>
      <c r="F4" s="2" t="s">
        <v>50</v>
      </c>
      <c r="H4" s="8" t="s">
        <v>51</v>
      </c>
      <c r="I4" s="8">
        <f>COUNTIF(C2:C8, "Media")</f>
        <v>2</v>
      </c>
    </row>
    <row r="5" spans="1:9" ht="15" x14ac:dyDescent="0.35">
      <c r="A5" s="7" t="s">
        <v>52</v>
      </c>
      <c r="B5" s="2" t="s">
        <v>28</v>
      </c>
      <c r="C5" s="7" t="s">
        <v>39</v>
      </c>
      <c r="D5" s="2" t="s">
        <v>53</v>
      </c>
      <c r="E5" s="7" t="s">
        <v>41</v>
      </c>
      <c r="F5" s="2" t="s">
        <v>54</v>
      </c>
      <c r="H5" s="8" t="s">
        <v>55</v>
      </c>
      <c r="I5" s="8">
        <f>COUNTIF(C2:C8, "Baja")</f>
        <v>1</v>
      </c>
    </row>
    <row r="6" spans="1:9" ht="15" x14ac:dyDescent="0.35">
      <c r="A6" s="7" t="s">
        <v>56</v>
      </c>
      <c r="B6" s="2" t="s">
        <v>16</v>
      </c>
      <c r="C6" s="7" t="s">
        <v>51</v>
      </c>
      <c r="D6" s="2" t="s">
        <v>57</v>
      </c>
      <c r="E6" s="7" t="s">
        <v>58</v>
      </c>
      <c r="F6" s="2" t="s">
        <v>59</v>
      </c>
    </row>
    <row r="7" spans="1:9" ht="15" x14ac:dyDescent="0.35">
      <c r="A7" s="7" t="s">
        <v>60</v>
      </c>
      <c r="B7" s="2" t="s">
        <v>26</v>
      </c>
      <c r="C7" s="7" t="s">
        <v>51</v>
      </c>
      <c r="D7" s="2" t="s">
        <v>61</v>
      </c>
      <c r="E7" s="7" t="s">
        <v>41</v>
      </c>
      <c r="F7" s="2" t="s">
        <v>62</v>
      </c>
    </row>
    <row r="8" spans="1:9" ht="15" x14ac:dyDescent="0.35">
      <c r="A8" s="7" t="s">
        <v>63</v>
      </c>
      <c r="B8" s="2" t="s">
        <v>14</v>
      </c>
      <c r="C8" s="7" t="s">
        <v>55</v>
      </c>
      <c r="D8" s="2" t="s">
        <v>64</v>
      </c>
      <c r="E8" s="7" t="s">
        <v>65</v>
      </c>
      <c r="F8" s="2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Executive Dashboard</vt:lpstr>
      <vt:lpstr>Resultados por Modulo</vt:lpstr>
      <vt:lpstr>Defect Log (Bugs)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Fraile Bayón</cp:lastModifiedBy>
  <dcterms:created xsi:type="dcterms:W3CDTF">2026-07-24T07:25:50Z</dcterms:created>
  <dcterms:modified xsi:type="dcterms:W3CDTF">2026-07-24T07:26:30Z</dcterms:modified>
</cp:coreProperties>
</file>